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PRU_RZV\docs\manuscript\"/>
    </mc:Choice>
  </mc:AlternateContent>
  <xr:revisionPtr revIDLastSave="0" documentId="13_ncr:1_{C5A91852-390D-477D-BB40-C6282B577CCE}" xr6:coauthVersionLast="47" xr6:coauthVersionMax="47" xr10:uidLastSave="{00000000-0000-0000-0000-000000000000}"/>
  <bookViews>
    <workbookView xWindow="7860" yWindow="2370" windowWidth="40365" windowHeight="17910" xr2:uid="{9DFA8D53-1391-44E8-8854-98FB93BA3912}"/>
  </bookViews>
  <sheets>
    <sheet name="threshold_pri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3" i="1"/>
  <c r="C4" i="1"/>
  <c r="C5" i="1"/>
  <c r="D5" i="1" s="1"/>
  <c r="F5" i="1" s="1"/>
  <c r="C6" i="1"/>
  <c r="D6" i="1" s="1"/>
  <c r="F6" i="1" s="1"/>
  <c r="C7" i="1"/>
  <c r="D7" i="1" s="1"/>
  <c r="F7" i="1" s="1"/>
  <c r="C8" i="1"/>
  <c r="C9" i="1"/>
  <c r="D9" i="1" s="1"/>
  <c r="F9" i="1" s="1"/>
  <c r="C10" i="1"/>
  <c r="D10" i="1" s="1"/>
  <c r="F10" i="1" s="1"/>
  <c r="C11" i="1"/>
  <c r="D11" i="1" s="1"/>
  <c r="F11" i="1" s="1"/>
  <c r="C12" i="1"/>
  <c r="D12" i="1" s="1"/>
  <c r="F12" i="1" s="1"/>
  <c r="C13" i="1"/>
  <c r="D13" i="1" s="1"/>
  <c r="F13" i="1" s="1"/>
  <c r="C14" i="1"/>
  <c r="D14" i="1" s="1"/>
  <c r="F14" i="1" s="1"/>
  <c r="C3" i="1"/>
  <c r="D4" i="1"/>
  <c r="F4" i="1" s="1"/>
  <c r="D8" i="1"/>
  <c r="F8" i="1" s="1"/>
  <c r="D3" i="1"/>
  <c r="F3" i="1" s="1"/>
</calcChain>
</file>

<file path=xl/sharedStrings.xml><?xml version="1.0" encoding="utf-8"?>
<sst xmlns="http://schemas.openxmlformats.org/spreadsheetml/2006/main" count="44" uniqueCount="16">
  <si>
    <t>Age</t>
  </si>
  <si>
    <t>Unvaccinated</t>
  </si>
  <si>
    <t>Threshold prices</t>
  </si>
  <si>
    <t>Price reduction from two-dose to one dose</t>
  </si>
  <si>
    <t>Two-dose RZV, full regimen</t>
  </si>
  <si>
    <t>Two-dose RZV, per dose</t>
  </si>
  <si>
    <t>Single-dose RZV, per dose</t>
  </si>
  <si>
    <t>Group</t>
  </si>
  <si>
    <t>ZVL at 70 years old</t>
  </si>
  <si>
    <t>Age0</t>
  </si>
  <si>
    <t>Arm</t>
  </si>
  <si>
    <t>Reg2d</t>
  </si>
  <si>
    <t>Reg1d</t>
  </si>
  <si>
    <t>NA</t>
  </si>
  <si>
    <t>RZV</t>
  </si>
  <si>
    <t>ReRZV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</si>
</sst>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0" xfId="0" applyFont="1"/>
    <xf numFmtId="0" fontId="18" fillId="0" borderId="10" xfId="0" applyFont="1" applyBorder="1" applyAlignment="1">
      <alignment vertical="top" wrapText="1"/>
    </xf>
    <xf numFmtId="164" fontId="18" fillId="0" borderId="11" xfId="0" applyNumberFormat="1" applyFont="1" applyBorder="1" applyAlignment="1">
      <alignment horizontal="center"/>
    </xf>
    <xf numFmtId="164" fontId="18" fillId="0" borderId="12" xfId="0" applyNumberFormat="1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8" fillId="0" borderId="10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F610C-73B4-40CF-84A9-10A3EB4A55A5}">
  <dimension ref="A1:O14"/>
  <sheetViews>
    <sheetView tabSelected="1" workbookViewId="0">
      <selection sqref="A1:F14"/>
    </sheetView>
  </sheetViews>
  <sheetFormatPr defaultRowHeight="18.75" x14ac:dyDescent="0.3"/>
  <cols>
    <col min="1" max="6" width="25.5703125" style="3" customWidth="1"/>
  </cols>
  <sheetData>
    <row r="1" spans="1:15" x14ac:dyDescent="0.3">
      <c r="A1" s="9" t="s">
        <v>0</v>
      </c>
      <c r="B1" s="9" t="s">
        <v>7</v>
      </c>
      <c r="C1" s="7" t="s">
        <v>2</v>
      </c>
      <c r="D1" s="7"/>
      <c r="E1" s="7"/>
      <c r="F1" s="7"/>
    </row>
    <row r="2" spans="1:15" ht="38.25" thickBot="1" x14ac:dyDescent="0.3">
      <c r="A2" s="10"/>
      <c r="B2" s="10"/>
      <c r="C2" s="4" t="s">
        <v>5</v>
      </c>
      <c r="D2" s="4" t="s">
        <v>4</v>
      </c>
      <c r="E2" s="4" t="s">
        <v>6</v>
      </c>
      <c r="F2" s="4" t="s">
        <v>3</v>
      </c>
      <c r="K2" t="s">
        <v>9</v>
      </c>
      <c r="L2" t="s">
        <v>0</v>
      </c>
      <c r="M2" t="s">
        <v>10</v>
      </c>
      <c r="N2" t="s">
        <v>11</v>
      </c>
      <c r="O2" t="s">
        <v>12</v>
      </c>
    </row>
    <row r="3" spans="1:15" ht="19.5" thickTop="1" x14ac:dyDescent="0.3">
      <c r="A3" s="1">
        <v>60</v>
      </c>
      <c r="B3" s="1" t="s">
        <v>1</v>
      </c>
      <c r="C3" s="5">
        <f>N3</f>
        <v>108.656886342448</v>
      </c>
      <c r="D3" s="5">
        <f>2*C3</f>
        <v>217.31377268489601</v>
      </c>
      <c r="E3" s="5">
        <f>O3</f>
        <v>192.897349376102</v>
      </c>
      <c r="F3" s="5">
        <f>D3-E3</f>
        <v>24.416423308794009</v>
      </c>
      <c r="K3" t="s">
        <v>13</v>
      </c>
      <c r="L3">
        <v>60</v>
      </c>
      <c r="M3" t="s">
        <v>14</v>
      </c>
      <c r="N3">
        <v>108.656886342448</v>
      </c>
      <c r="O3">
        <v>192.897349376102</v>
      </c>
    </row>
    <row r="4" spans="1:15" x14ac:dyDescent="0.3">
      <c r="A4" s="2">
        <v>65</v>
      </c>
      <c r="B4" s="2" t="s">
        <v>1</v>
      </c>
      <c r="C4" s="6">
        <f t="shared" ref="C4:C14" si="0">N4</f>
        <v>113.100632652073</v>
      </c>
      <c r="D4" s="6">
        <f t="shared" ref="D4:D14" si="1">2*C4</f>
        <v>226.20126530414601</v>
      </c>
      <c r="E4" s="6">
        <f t="shared" ref="E4:E14" si="2">O4</f>
        <v>200.76575391086899</v>
      </c>
      <c r="F4" s="6">
        <f t="shared" ref="F4:F14" si="3">D4-E4</f>
        <v>25.435511393277011</v>
      </c>
      <c r="K4" t="s">
        <v>13</v>
      </c>
      <c r="L4">
        <v>65</v>
      </c>
      <c r="M4" t="s">
        <v>14</v>
      </c>
      <c r="N4">
        <v>113.100632652073</v>
      </c>
      <c r="O4">
        <v>200.76575391086899</v>
      </c>
    </row>
    <row r="5" spans="1:15" x14ac:dyDescent="0.3">
      <c r="A5" s="2">
        <v>70</v>
      </c>
      <c r="B5" s="2" t="s">
        <v>1</v>
      </c>
      <c r="C5" s="6">
        <f t="shared" si="0"/>
        <v>113.384703877767</v>
      </c>
      <c r="D5" s="6">
        <f t="shared" si="1"/>
        <v>226.76940775553399</v>
      </c>
      <c r="E5" s="6">
        <f t="shared" si="2"/>
        <v>201.88375360209801</v>
      </c>
      <c r="F5" s="6">
        <f t="shared" si="3"/>
        <v>24.885654153435979</v>
      </c>
      <c r="K5" t="s">
        <v>13</v>
      </c>
      <c r="L5">
        <v>70</v>
      </c>
      <c r="M5" t="s">
        <v>14</v>
      </c>
      <c r="N5">
        <v>113.384703877767</v>
      </c>
      <c r="O5">
        <v>201.88375360209801</v>
      </c>
    </row>
    <row r="6" spans="1:15" x14ac:dyDescent="0.3">
      <c r="A6" s="2">
        <v>75</v>
      </c>
      <c r="B6" s="2" t="s">
        <v>1</v>
      </c>
      <c r="C6" s="6">
        <f t="shared" si="0"/>
        <v>107.807521956225</v>
      </c>
      <c r="D6" s="6">
        <f t="shared" si="1"/>
        <v>215.61504391245001</v>
      </c>
      <c r="E6" s="6">
        <f t="shared" si="2"/>
        <v>191.84932966330001</v>
      </c>
      <c r="F6" s="6">
        <f t="shared" si="3"/>
        <v>23.765714249149994</v>
      </c>
      <c r="K6" t="s">
        <v>13</v>
      </c>
      <c r="L6">
        <v>75</v>
      </c>
      <c r="M6" t="s">
        <v>14</v>
      </c>
      <c r="N6">
        <v>107.807521956225</v>
      </c>
      <c r="O6">
        <v>191.84932966330001</v>
      </c>
    </row>
    <row r="7" spans="1:15" x14ac:dyDescent="0.3">
      <c r="A7" s="8">
        <v>80</v>
      </c>
      <c r="B7" s="2" t="s">
        <v>1</v>
      </c>
      <c r="C7" s="6">
        <f t="shared" si="0"/>
        <v>95.813586086847806</v>
      </c>
      <c r="D7" s="6">
        <f t="shared" si="1"/>
        <v>191.62717217369561</v>
      </c>
      <c r="E7" s="6">
        <f t="shared" si="2"/>
        <v>170.223538814634</v>
      </c>
      <c r="F7" s="6">
        <f t="shared" si="3"/>
        <v>21.403633359061615</v>
      </c>
      <c r="K7" t="s">
        <v>13</v>
      </c>
      <c r="L7">
        <v>80</v>
      </c>
      <c r="M7" t="s">
        <v>14</v>
      </c>
      <c r="N7">
        <v>95.813586086847806</v>
      </c>
      <c r="O7">
        <v>170.223538814634</v>
      </c>
    </row>
    <row r="8" spans="1:15" x14ac:dyDescent="0.3">
      <c r="A8" s="8"/>
      <c r="B8" s="2" t="s">
        <v>8</v>
      </c>
      <c r="C8" s="6">
        <f t="shared" si="0"/>
        <v>75.259640783854607</v>
      </c>
      <c r="D8" s="6">
        <f t="shared" si="1"/>
        <v>150.51928156770921</v>
      </c>
      <c r="E8" s="6">
        <f t="shared" si="2"/>
        <v>105.588941180324</v>
      </c>
      <c r="F8" s="6">
        <f t="shared" si="3"/>
        <v>44.930340387385215</v>
      </c>
      <c r="K8">
        <v>70</v>
      </c>
      <c r="L8">
        <v>80</v>
      </c>
      <c r="M8" t="s">
        <v>15</v>
      </c>
      <c r="N8">
        <v>75.259640783854607</v>
      </c>
      <c r="O8">
        <v>105.588941180324</v>
      </c>
    </row>
    <row r="9" spans="1:15" x14ac:dyDescent="0.3">
      <c r="A9" s="8">
        <v>85</v>
      </c>
      <c r="B9" s="2" t="s">
        <v>1</v>
      </c>
      <c r="C9" s="6">
        <f t="shared" si="0"/>
        <v>78.759119500821896</v>
      </c>
      <c r="D9" s="6">
        <f t="shared" si="1"/>
        <v>157.51823900164379</v>
      </c>
      <c r="E9" s="6">
        <f t="shared" si="2"/>
        <v>137.98922464330201</v>
      </c>
      <c r="F9" s="6">
        <f t="shared" si="3"/>
        <v>19.529014358341783</v>
      </c>
      <c r="K9" t="s">
        <v>13</v>
      </c>
      <c r="L9">
        <v>85</v>
      </c>
      <c r="M9" t="s">
        <v>14</v>
      </c>
      <c r="N9">
        <v>78.759119500821896</v>
      </c>
      <c r="O9">
        <v>137.98922464330201</v>
      </c>
    </row>
    <row r="10" spans="1:15" x14ac:dyDescent="0.3">
      <c r="A10" s="8"/>
      <c r="B10" s="2" t="s">
        <v>8</v>
      </c>
      <c r="C10" s="6">
        <f t="shared" si="0"/>
        <v>64.152741577659796</v>
      </c>
      <c r="D10" s="6">
        <f t="shared" si="1"/>
        <v>128.30548315531959</v>
      </c>
      <c r="E10" s="6">
        <f t="shared" si="2"/>
        <v>94.996412519428006</v>
      </c>
      <c r="F10" s="6">
        <f t="shared" si="3"/>
        <v>33.309070635891587</v>
      </c>
      <c r="K10">
        <v>70</v>
      </c>
      <c r="L10">
        <v>85</v>
      </c>
      <c r="M10" t="s">
        <v>15</v>
      </c>
      <c r="N10">
        <v>64.152741577659796</v>
      </c>
      <c r="O10">
        <v>94.996412519428006</v>
      </c>
    </row>
    <row r="11" spans="1:15" x14ac:dyDescent="0.3">
      <c r="A11" s="8">
        <v>90</v>
      </c>
      <c r="B11" s="2" t="s">
        <v>1</v>
      </c>
      <c r="C11" s="6">
        <f t="shared" si="0"/>
        <v>60.009005914026297</v>
      </c>
      <c r="D11" s="6">
        <f t="shared" si="1"/>
        <v>120.01801182805259</v>
      </c>
      <c r="E11" s="6">
        <f t="shared" si="2"/>
        <v>103.38753854288601</v>
      </c>
      <c r="F11" s="6">
        <f t="shared" si="3"/>
        <v>16.630473285166588</v>
      </c>
      <c r="K11" t="s">
        <v>13</v>
      </c>
      <c r="L11">
        <v>90</v>
      </c>
      <c r="M11" t="s">
        <v>14</v>
      </c>
      <c r="N11">
        <v>60.009005914026297</v>
      </c>
      <c r="O11">
        <v>103.38753854288601</v>
      </c>
    </row>
    <row r="12" spans="1:15" x14ac:dyDescent="0.3">
      <c r="A12" s="8"/>
      <c r="B12" s="2" t="s">
        <v>8</v>
      </c>
      <c r="C12" s="6">
        <f t="shared" si="0"/>
        <v>47.806573269934098</v>
      </c>
      <c r="D12" s="6">
        <f t="shared" si="1"/>
        <v>95.613146539868197</v>
      </c>
      <c r="E12" s="6">
        <f t="shared" si="2"/>
        <v>71.924926657641606</v>
      </c>
      <c r="F12" s="6">
        <f t="shared" si="3"/>
        <v>23.688219882226591</v>
      </c>
      <c r="K12">
        <v>70</v>
      </c>
      <c r="L12">
        <v>90</v>
      </c>
      <c r="M12" t="s">
        <v>15</v>
      </c>
      <c r="N12">
        <v>47.806573269934098</v>
      </c>
      <c r="O12">
        <v>71.924926657641606</v>
      </c>
    </row>
    <row r="13" spans="1:15" x14ac:dyDescent="0.3">
      <c r="A13" s="8">
        <v>95</v>
      </c>
      <c r="B13" s="2" t="s">
        <v>1</v>
      </c>
      <c r="C13" s="6">
        <f t="shared" si="0"/>
        <v>40.468914087214301</v>
      </c>
      <c r="D13" s="6">
        <f t="shared" si="1"/>
        <v>80.937828174428603</v>
      </c>
      <c r="E13" s="6">
        <f t="shared" si="2"/>
        <v>68.805016737848703</v>
      </c>
      <c r="F13" s="6">
        <f t="shared" si="3"/>
        <v>12.1328114365799</v>
      </c>
      <c r="K13" t="s">
        <v>13</v>
      </c>
      <c r="L13">
        <v>95</v>
      </c>
      <c r="M13" t="s">
        <v>14</v>
      </c>
      <c r="N13">
        <v>40.468914087214301</v>
      </c>
      <c r="O13">
        <v>68.805016737848703</v>
      </c>
    </row>
    <row r="14" spans="1:15" x14ac:dyDescent="0.3">
      <c r="A14" s="8"/>
      <c r="B14" s="2" t="s">
        <v>8</v>
      </c>
      <c r="C14" s="6">
        <f t="shared" si="0"/>
        <v>29.6009794217482</v>
      </c>
      <c r="D14" s="6">
        <f t="shared" si="1"/>
        <v>59.201958843496399</v>
      </c>
      <c r="E14" s="6">
        <f t="shared" si="2"/>
        <v>45.269301977696301</v>
      </c>
      <c r="F14" s="6">
        <f t="shared" si="3"/>
        <v>13.932656865800098</v>
      </c>
      <c r="K14">
        <v>70</v>
      </c>
      <c r="L14">
        <v>95</v>
      </c>
      <c r="M14" t="s">
        <v>15</v>
      </c>
      <c r="N14">
        <v>29.6009794217482</v>
      </c>
      <c r="O14">
        <v>45.269301977696301</v>
      </c>
    </row>
  </sheetData>
  <mergeCells count="7">
    <mergeCell ref="C1:F1"/>
    <mergeCell ref="A7:A8"/>
    <mergeCell ref="A9:A10"/>
    <mergeCell ref="A11:A12"/>
    <mergeCell ref="A13:A14"/>
    <mergeCell ref="A1:A2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threshold_price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Chu-Chang Ku</cp:lastModifiedBy>
  <dcterms:created xsi:type="dcterms:W3CDTF">2025-09-18T14:55:44Z</dcterms:created>
  <dcterms:modified xsi:type="dcterms:W3CDTF">2025-10-29T15:36:26Z</dcterms:modified>
</cp:coreProperties>
</file>